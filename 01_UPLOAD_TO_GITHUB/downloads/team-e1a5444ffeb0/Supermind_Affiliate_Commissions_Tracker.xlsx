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filiates" sheetId="1" state="visible" r:id="rId3"/>
    <sheet name="Sales" sheetId="2" state="visible" r:id="rId4"/>
    <sheet name="Payouts" sheetId="3" state="visible" r:id="rId5"/>
    <sheet name="Leads" sheetId="4" state="visible" r:id="rId6"/>
    <sheet name="Weekly scorec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<sst xmlns="http://schemas.openxmlformats.org/spreadsheetml/2006/main" count="69" uniqueCount="59">
  <si>
    <t xml:space="preserve">Affiliate</t>
  </si>
  <si>
    <t xml:space="preserve">Handle</t>
  </si>
  <si>
    <t xml:space="preserve">Email</t>
  </si>
  <si>
    <t xml:space="preserve">Code</t>
  </si>
  <si>
    <t xml:space="preserve">Join date</t>
  </si>
  <si>
    <t xml:space="preserve">Tier</t>
  </si>
  <si>
    <t xml:space="preserve">Website rate</t>
  </si>
  <si>
    <t xml:space="preserve">TikTok rate</t>
  </si>
  <si>
    <t xml:space="preserve">30-day sales</t>
  </si>
  <si>
    <t xml:space="preserve">Tier check</t>
  </si>
  <si>
    <t xml:space="preserve">Notes</t>
  </si>
  <si>
    <t xml:space="preserve">Example Affiliate</t>
  </si>
  <si>
    <t xml:space="preserve">@example</t>
  </si>
  <si>
    <t xml:space="preserve">name@email.com</t>
  </si>
  <si>
    <t xml:space="preserve">EXAMPLE</t>
  </si>
  <si>
    <t xml:space="preserve">2026-09-22</t>
  </si>
  <si>
    <t xml:space="preserve">Member</t>
  </si>
  <si>
    <t xml:space="preserve">Example row. Delete before use</t>
  </si>
  <si>
    <t xml:space="preserve">Legend: fill in every column except Tier check, which is a formula. Rates: Member 10/15, Creator 15/20, Partner 20/25, Flagship 20/25-30. Source: SM-SOP-15.</t>
  </si>
  <si>
    <t xml:space="preserve">Date</t>
  </si>
  <si>
    <t xml:space="preserve">Platform</t>
  </si>
  <si>
    <t xml:space="preserve">Order value</t>
  </si>
  <si>
    <t xml:space="preserve">Rate</t>
  </si>
  <si>
    <t xml:space="preserve">Commission</t>
  </si>
  <si>
    <t xml:space="preserve">Refunded</t>
  </si>
  <si>
    <t xml:space="preserve">Payable</t>
  </si>
  <si>
    <t xml:space="preserve">Website</t>
  </si>
  <si>
    <t xml:space="preserve">No</t>
  </si>
  <si>
    <t xml:space="preserve">Platform: Website or TikTok. TikTok commission is paid by TikTok and is logged here for tier tracking only. Source: SM-SOP-15.</t>
  </si>
  <si>
    <t xml:space="preserve">Month</t>
  </si>
  <si>
    <t xml:space="preserve">Website commission</t>
  </si>
  <si>
    <t xml:space="preserve">Adjustments</t>
  </si>
  <si>
    <t xml:space="preserve">Total paid</t>
  </si>
  <si>
    <t xml:space="preserve">Date paid</t>
  </si>
  <si>
    <t xml:space="preserve">Approved by</t>
  </si>
  <si>
    <t xml:space="preserve">Method</t>
  </si>
  <si>
    <t xml:space="preserve">2026-09</t>
  </si>
  <si>
    <t xml:space="preserve">B. Amechi</t>
  </si>
  <si>
    <t xml:space="preserve">Nothing is paid before B. Amechi approves the run. Source: SM-SOP-15.</t>
  </si>
  <si>
    <t xml:space="preserve">Name</t>
  </si>
  <si>
    <t xml:space="preserve">Source</t>
  </si>
  <si>
    <t xml:space="preserve">Date contacted</t>
  </si>
  <si>
    <t xml:space="preserve">Follow-up date</t>
  </si>
  <si>
    <t xml:space="preserve">Outcome</t>
  </si>
  <si>
    <t xml:space="preserve">Example Lead</t>
  </si>
  <si>
    <t xml:space="preserve">@lead</t>
  </si>
  <si>
    <t xml:space="preserve">Customer</t>
  </si>
  <si>
    <t xml:space="preserve">2026-09-27</t>
  </si>
  <si>
    <t xml:space="preserve">No reply yet</t>
  </si>
  <si>
    <t xml:space="preserve">Ten approaches a week. One follow-up, never a third. Source: SM-SOP-12.</t>
  </si>
  <si>
    <t xml:space="preserve">Week ending</t>
  </si>
  <si>
    <t xml:space="preserve">New affiliates</t>
  </si>
  <si>
    <t xml:space="preserve">Affiliates who posted</t>
  </si>
  <si>
    <t xml:space="preserve">Outreach approaches</t>
  </si>
  <si>
    <t xml:space="preserve">Total affiliate sales</t>
  </si>
  <si>
    <t xml:space="preserve">Help open past 1 day</t>
  </si>
  <si>
    <t xml:space="preserve">Promotions</t>
  </si>
  <si>
    <t xml:space="preserve">2026-09-25</t>
  </si>
  <si>
    <t xml:space="preserve">Read these in the L10, Wednesdays 11:00 AM PT. Goals: 5 joins, 10 approaches, 0 open questions. Source: SM-EOS-02.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</si>
</sst>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1EEE7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5100D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CF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EEE7"/>
      <rgbColor rgb="FFFF0000"/>
      <rgbColor rgb="FF00FF00"/>
      <rgbColor rgb="FF0000FF"/>
      <rgbColor rgb="FFFFFF00"/>
      <rgbColor rgb="FFFF00FF"/>
      <rgbColor rgb="FF00FFFF"/>
      <rgbColor rgb="FF55100D"/>
      <rgbColor rgb="FF008000"/>
      <rgbColor rgb="FF000080"/>
      <rgbColor rgb="FF808000"/>
      <rgbColor rgb="FF800080"/>
      <rgbColor rgb="FF008080"/>
      <rgbColor rgb="FFD6CF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8" min="5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n">
        <v>0.1</v>
      </c>
      <c r="H2" s="3" t="n">
        <v>0.15</v>
      </c>
      <c r="I2" s="4" t="n">
        <v>0</v>
      </c>
      <c r="J2" s="2" t="str">
        <f aca="false">IF(I2&gt;=1000,"Partner",IF(I2&gt;=400,"Creator","Member"))</f>
        <v>Member</v>
      </c>
      <c r="K2" s="2" t="s">
        <v>17</v>
      </c>
    </row>
    <row r="5" customFormat="false" ht="15" hidden="false" customHeight="false" outlineLevel="0" collapsed="false">
      <c r="A5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19</v>
      </c>
      <c r="B1" s="1" t="s">
        <v>0</v>
      </c>
      <c r="C1" s="1" t="s">
        <v>3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customFormat="false" ht="15" hidden="false" customHeight="false" outlineLevel="0" collapsed="false">
      <c r="A2" s="2" t="s">
        <v>15</v>
      </c>
      <c r="B2" s="2" t="s">
        <v>11</v>
      </c>
      <c r="C2" s="2" t="s">
        <v>14</v>
      </c>
      <c r="D2" s="2" t="s">
        <v>26</v>
      </c>
      <c r="E2" s="4" t="n">
        <v>50</v>
      </c>
      <c r="F2" s="3" t="n">
        <v>0.1</v>
      </c>
      <c r="G2" s="4" t="n">
        <f aca="false">E2*F2</f>
        <v>5</v>
      </c>
      <c r="H2" s="2" t="s">
        <v>27</v>
      </c>
      <c r="I2" s="4" t="n">
        <f aca="false">IF(H2="Yes",0,G2)</f>
        <v>5</v>
      </c>
    </row>
    <row r="5" customFormat="false" ht="15" hidden="false" customHeight="false" outlineLevel="0" collapsed="false">
      <c r="A5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" t="s">
        <v>29</v>
      </c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customFormat="false" ht="15" hidden="false" customHeight="false" outlineLevel="0" collapsed="false">
      <c r="A2" s="2" t="s">
        <v>36</v>
      </c>
      <c r="B2" s="2" t="s">
        <v>11</v>
      </c>
      <c r="C2" s="4" t="n">
        <f aca="false">SUMIFS(Sales!I:I,Sales!B:B,B2)</f>
        <v>5</v>
      </c>
      <c r="D2" s="4" t="n">
        <v>0</v>
      </c>
      <c r="E2" s="4" t="n">
        <f aca="false">C2+D2</f>
        <v>5</v>
      </c>
      <c r="F2" s="2"/>
      <c r="G2" s="2" t="s">
        <v>37</v>
      </c>
      <c r="H2" s="2"/>
    </row>
    <row r="5" customFormat="false" ht="15" hidden="false" customHeight="false" outlineLevel="0" collapsed="false">
      <c r="A5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39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10</v>
      </c>
    </row>
    <row r="2" customFormat="false" ht="15" hidden="false" customHeight="false" outlineLevel="0" collapsed="false">
      <c r="A2" s="2" t="s">
        <v>44</v>
      </c>
      <c r="B2" s="2" t="s">
        <v>45</v>
      </c>
      <c r="C2" s="2" t="s">
        <v>46</v>
      </c>
      <c r="D2" s="2" t="s">
        <v>15</v>
      </c>
      <c r="E2" s="2" t="s">
        <v>47</v>
      </c>
      <c r="F2" s="2" t="s">
        <v>48</v>
      </c>
      <c r="G2" s="2"/>
    </row>
    <row r="5" customFormat="false" ht="15" hidden="false" customHeight="false" outlineLevel="0" collapsed="false">
      <c r="A5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6" min="3" style="0" width="20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customFormat="false" ht="15" hidden="false" customHeight="false" outlineLevel="0" collapsed="false">
      <c r="A2" s="2" t="s">
        <v>57</v>
      </c>
      <c r="B2" s="2" t="n">
        <v>0</v>
      </c>
      <c r="C2" s="2" t="n">
        <v>0</v>
      </c>
      <c r="D2" s="2" t="n">
        <v>0</v>
      </c>
      <c r="E2" s="4" t="n">
        <v>0</v>
      </c>
      <c r="F2" s="2" t="n">
        <v>0</v>
      </c>
      <c r="G2" s="2" t="n">
        <v>0</v>
      </c>
    </row>
    <row r="5" customFormat="false" ht="15" hidden="false" customHeight="false" outlineLevel="0" collapsed="false">
      <c r="A5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2026-09-22T19:59:29Z</dcterms:created>
  <dc:creator>openpyxl</dc:creator>
  <dc:description/>
  <dc:language>en-US</dc:language>
  <cp:lastModifiedBy/>
  <dcterms:modified xsi:type="dcterms:W3CDTF">2026-09-22T19:59:29Z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